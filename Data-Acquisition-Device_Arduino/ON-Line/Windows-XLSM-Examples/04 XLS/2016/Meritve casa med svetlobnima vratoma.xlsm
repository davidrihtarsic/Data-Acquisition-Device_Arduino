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a_delovni_zvezek"/>
  <bookViews>
    <workbookView xWindow="0" yWindow="0" windowWidth="20400" windowHeight="9630" activeTab="2"/>
  </bookViews>
  <sheets>
    <sheet name="INIT" sheetId="1" r:id="rId1"/>
    <sheet name="ADC" sheetId="4" r:id="rId2"/>
    <sheet name="t_0" sheetId="2" r:id="rId3"/>
    <sheet name="Timer1" sheetId="3" r:id="rId4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/>
  <c r="I12" i="4" l="1"/>
  <c r="H12"/>
  <c r="B5"/>
</calcChain>
</file>

<file path=xl/sharedStrings.xml><?xml version="1.0" encoding="utf-8"?>
<sst xmlns="http://schemas.openxmlformats.org/spreadsheetml/2006/main" count="23" uniqueCount="17">
  <si>
    <t>T1 prescaller</t>
  </si>
  <si>
    <t>CPU freqency</t>
  </si>
  <si>
    <r>
      <t>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trigger source</t>
    </r>
  </si>
  <si>
    <r>
      <t>2</t>
    </r>
    <r>
      <rPr>
        <vertAlign val="superscript"/>
        <sz val="11"/>
        <color theme="1"/>
        <rFont val="Calibri"/>
        <family val="2"/>
        <scheme val="minor"/>
      </rPr>
      <t>nd</t>
    </r>
    <r>
      <rPr>
        <sz val="11"/>
        <color theme="1"/>
        <rFont val="Calibri"/>
        <family val="2"/>
        <scheme val="minor"/>
      </rPr>
      <t xml:space="preserve"> trigger source</t>
    </r>
  </si>
  <si>
    <t>Time Out</t>
  </si>
  <si>
    <t>T1 counter</t>
  </si>
  <si>
    <r>
      <t>t</t>
    </r>
    <r>
      <rPr>
        <b/>
        <vertAlign val="subscript"/>
        <sz val="14"/>
        <color theme="1"/>
        <rFont val="Calibri"/>
        <family val="2"/>
        <scheme val="minor"/>
      </rPr>
      <t>0</t>
    </r>
    <r>
      <rPr>
        <b/>
        <sz val="14"/>
        <color theme="1"/>
        <rFont val="Calibri"/>
        <family val="2"/>
        <scheme val="minor"/>
      </rPr>
      <t xml:space="preserve"> = </t>
    </r>
  </si>
  <si>
    <t>T2 prescaller</t>
  </si>
  <si>
    <t>COM1</t>
  </si>
  <si>
    <t>COM45</t>
  </si>
  <si>
    <t>Analog to Digital Converter</t>
  </si>
  <si>
    <t>None</t>
  </si>
  <si>
    <t>N</t>
  </si>
  <si>
    <t>dT</t>
  </si>
  <si>
    <t>T</t>
  </si>
  <si>
    <t>Time</t>
  </si>
  <si>
    <t>On Line Mode v.04_x000D_</t>
  </si>
</sst>
</file>

<file path=xl/styles.xml><?xml version="1.0" encoding="utf-8"?>
<styleSheet xmlns="http://schemas.openxmlformats.org/spreadsheetml/2006/main">
  <numFmts count="4">
    <numFmt numFmtId="164" formatCode="0.00\ &quot;MHz&quot;"/>
    <numFmt numFmtId="165" formatCode="0\ &quot;ms&quot;"/>
    <numFmt numFmtId="166" formatCode="&quot;C.&quot;0"/>
    <numFmt numFmtId="167" formatCode="0.00\ &quot;ms&quot;"/>
  </numFmts>
  <fonts count="5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9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67" fontId="0" fillId="0" borderId="0" xfId="0" applyNumberFormat="1"/>
    <xf numFmtId="0" fontId="0" fillId="0" borderId="1" xfId="0" applyBorder="1"/>
    <xf numFmtId="164" fontId="0" fillId="0" borderId="2" xfId="0" applyNumberForma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165" fontId="0" fillId="0" borderId="4" xfId="0" applyNumberFormat="1" applyBorder="1"/>
    <xf numFmtId="0" fontId="2" fillId="0" borderId="3" xfId="0" applyFont="1" applyBorder="1" applyAlignment="1">
      <alignment horizontal="right"/>
    </xf>
    <xf numFmtId="167" fontId="2" fillId="0" borderId="4" xfId="0" applyNumberFormat="1" applyFont="1" applyBorder="1"/>
    <xf numFmtId="0" fontId="0" fillId="2" borderId="4" xfId="0" applyFill="1" applyBorder="1" applyAlignment="1">
      <alignment horizontal="center"/>
    </xf>
    <xf numFmtId="166" fontId="0" fillId="2" borderId="4" xfId="0" applyNumberFormat="1" applyFill="1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center"/>
    </xf>
  </cellXfs>
  <cellStyles count="1">
    <cellStyle name="Navad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sl-SI"/>
  <c:chart>
    <c:plotArea>
      <c:layout/>
      <c:scatterChart>
        <c:scatterStyle val="lineMarker"/>
        <c:axId val="144564608"/>
        <c:axId val="144566144"/>
      </c:scatterChart>
      <c:valAx>
        <c:axId val="144564608"/>
        <c:scaling>
          <c:orientation val="minMax"/>
        </c:scaling>
        <c:axPos val="b"/>
        <c:tickLblPos val="nextTo"/>
        <c:crossAx val="144566144"/>
        <c:crosses val="autoZero"/>
        <c:crossBetween val="midCat"/>
      </c:valAx>
      <c:valAx>
        <c:axId val="144566144"/>
        <c:scaling>
          <c:orientation val="minMax"/>
        </c:scaling>
        <c:axPos val="l"/>
        <c:majorGridlines/>
        <c:tickLblPos val="nextTo"/>
        <c:crossAx val="144564608"/>
        <c:crosses val="autoZero"/>
        <c:crossBetween val="midCat"/>
      </c:valAx>
    </c:plotArea>
    <c:legend>
      <c:legendPos val="r"/>
      <c:layout/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552450</xdr:colOff>
      <xdr:row>2</xdr:row>
      <xdr:rowOff>85724</xdr:rowOff>
    </xdr:from>
    <xdr:to>
      <xdr:col>24</xdr:col>
      <xdr:colOff>285750</xdr:colOff>
      <xdr:row>34</xdr:row>
      <xdr:rowOff>19049</xdr:rowOff>
    </xdr:to>
    <xdr:graphicFrame macro="">
      <xdr:nvGraphicFramePr>
        <xdr:cNvPr id="2" name="Grafikon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isarna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I11"/>
  <sheetViews>
    <sheetView workbookViewId="0">
      <selection activeCell="B5" sqref="B5"/>
    </sheetView>
  </sheetViews>
  <sheetFormatPr defaultRowHeight="15"/>
  <cols>
    <col min="8" max="8" width="16.140625" bestFit="1" customWidth="1"/>
    <col min="9" max="9" width="11.140625" customWidth="1"/>
  </cols>
  <sheetData>
    <row r="1" spans="1:9">
      <c r="A1" t="s">
        <v>8</v>
      </c>
      <c r="I1" s="1"/>
    </row>
    <row r="2" spans="1:9">
      <c r="A2" t="s">
        <v>9</v>
      </c>
      <c r="I2" s="2"/>
    </row>
    <row r="3" spans="1:9">
      <c r="I3" s="4"/>
    </row>
    <row r="4" spans="1:9">
      <c r="I4" s="4"/>
    </row>
    <row r="5" spans="1:9">
      <c r="B5" t="s">
        <v>9</v>
      </c>
      <c r="E5" t="s">
        <v>16</v>
      </c>
    </row>
    <row r="6" spans="1:9">
      <c r="I6" s="3"/>
    </row>
    <row r="11" spans="1:9">
      <c r="H11" s="5"/>
      <c r="I11" s="6"/>
    </row>
  </sheetData>
  <dataValidations count="3">
    <dataValidation type="list" allowBlank="1" showInputMessage="1" showErrorMessage="1" sqref="B5">
      <formula1>A:A</formula1>
    </dataValidation>
    <dataValidation type="list" allowBlank="1" showInputMessage="1" showErrorMessage="1" sqref="I3:I4">
      <formula1>"0,1,2,3,4,5"</formula1>
    </dataValidation>
    <dataValidation type="list" allowBlank="1" showInputMessage="1" showErrorMessage="1" sqref="I2">
      <formula1>"1,2,8,64,256,1024"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4"/>
  <dimension ref="A3:I20"/>
  <sheetViews>
    <sheetView topLeftCell="A2" workbookViewId="0">
      <selection activeCell="B4" sqref="B4"/>
    </sheetView>
  </sheetViews>
  <sheetFormatPr defaultRowHeight="15"/>
  <cols>
    <col min="1" max="1" width="14.28515625" bestFit="1" customWidth="1"/>
    <col min="2" max="7" width="7" customWidth="1"/>
  </cols>
  <sheetData>
    <row r="3" spans="1:9">
      <c r="A3" t="s">
        <v>13</v>
      </c>
      <c r="B3">
        <v>1</v>
      </c>
    </row>
    <row r="4" spans="1:9">
      <c r="A4" t="s">
        <v>12</v>
      </c>
      <c r="B4">
        <v>10</v>
      </c>
    </row>
    <row r="5" spans="1:9">
      <c r="A5" t="s">
        <v>14</v>
      </c>
      <c r="B5">
        <f>B4*B3</f>
        <v>10</v>
      </c>
    </row>
    <row r="9" spans="1:9">
      <c r="B9" s="18" t="s">
        <v>10</v>
      </c>
      <c r="C9" s="18"/>
      <c r="D9" s="18"/>
      <c r="E9" s="18"/>
      <c r="F9" s="18"/>
      <c r="G9" s="18"/>
    </row>
    <row r="10" spans="1:9">
      <c r="A10" t="s">
        <v>15</v>
      </c>
      <c r="B10">
        <v>0</v>
      </c>
      <c r="C10" t="s">
        <v>11</v>
      </c>
      <c r="D10" t="s">
        <v>11</v>
      </c>
      <c r="E10" t="s">
        <v>11</v>
      </c>
      <c r="F10" t="s">
        <v>11</v>
      </c>
      <c r="G10" t="s">
        <v>11</v>
      </c>
    </row>
    <row r="11" spans="1:9">
      <c r="A11" s="17">
        <v>42074.515810185185</v>
      </c>
      <c r="B11">
        <v>679</v>
      </c>
    </row>
    <row r="12" spans="1:9">
      <c r="A12" s="17">
        <v>42074.515821759262</v>
      </c>
      <c r="B12">
        <v>678</v>
      </c>
      <c r="H12">
        <f>AVERAGE(B11:B1000)</f>
        <v>677.6</v>
      </c>
      <c r="I12">
        <f>STDEV(B11:B1000)</f>
        <v>0.96609178307929588</v>
      </c>
    </row>
    <row r="13" spans="1:9">
      <c r="A13" s="17">
        <v>42074.515821759262</v>
      </c>
      <c r="B13">
        <v>677</v>
      </c>
    </row>
    <row r="14" spans="1:9">
      <c r="A14" s="17">
        <v>42074.515821759262</v>
      </c>
      <c r="B14">
        <v>678</v>
      </c>
    </row>
    <row r="15" spans="1:9">
      <c r="A15" s="17">
        <v>42074.515821759262</v>
      </c>
      <c r="B15">
        <v>678</v>
      </c>
    </row>
    <row r="16" spans="1:9">
      <c r="A16" s="17">
        <v>42074.515821759262</v>
      </c>
      <c r="B16">
        <v>677</v>
      </c>
    </row>
    <row r="17" spans="1:2">
      <c r="A17" s="17">
        <v>42074.515821759262</v>
      </c>
      <c r="B17">
        <v>679</v>
      </c>
    </row>
    <row r="18" spans="1:2">
      <c r="A18" s="17">
        <v>42074.515821759262</v>
      </c>
      <c r="B18">
        <v>677</v>
      </c>
    </row>
    <row r="19" spans="1:2">
      <c r="A19" s="17">
        <v>42074.515821759262</v>
      </c>
      <c r="B19">
        <v>676</v>
      </c>
    </row>
    <row r="20" spans="1:2">
      <c r="A20" s="17">
        <v>42074.515821759262</v>
      </c>
      <c r="B20">
        <v>677</v>
      </c>
    </row>
  </sheetData>
  <mergeCells count="1">
    <mergeCell ref="B9:G9"/>
  </mergeCells>
  <dataValidations count="2">
    <dataValidation type="list" allowBlank="1" showInputMessage="1" showErrorMessage="1" sqref="C10:G10">
      <formula1>"None,0,1,2,3,4,5"</formula1>
    </dataValidation>
    <dataValidation type="list" allowBlank="1" showInputMessage="1" showErrorMessage="1" sqref="B10">
      <formula1>" n,0,1,2,3,4,5"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2"/>
  <dimension ref="A1:B11"/>
  <sheetViews>
    <sheetView tabSelected="1" workbookViewId="0">
      <selection activeCell="B2" sqref="B2"/>
    </sheetView>
  </sheetViews>
  <sheetFormatPr defaultRowHeight="15"/>
  <cols>
    <col min="1" max="1" width="15.7109375" style="10" bestFit="1" customWidth="1"/>
    <col min="2" max="2" width="11.42578125" style="11" customWidth="1"/>
    <col min="3" max="16384" width="9.140625" style="11"/>
  </cols>
  <sheetData>
    <row r="1" spans="1:2" s="9" customFormat="1">
      <c r="A1" s="7" t="s">
        <v>1</v>
      </c>
      <c r="B1" s="8">
        <v>16</v>
      </c>
    </row>
    <row r="2" spans="1:2">
      <c r="A2" s="10" t="s">
        <v>0</v>
      </c>
      <c r="B2" s="15">
        <v>1024</v>
      </c>
    </row>
    <row r="3" spans="1:2" ht="17.25">
      <c r="A3" s="10" t="s">
        <v>2</v>
      </c>
      <c r="B3" s="16">
        <v>1</v>
      </c>
    </row>
    <row r="4" spans="1:2" ht="17.25">
      <c r="A4" s="10" t="s">
        <v>3</v>
      </c>
      <c r="B4" s="16">
        <v>1</v>
      </c>
    </row>
    <row r="6" spans="1:2">
      <c r="A6" s="10" t="s">
        <v>4</v>
      </c>
      <c r="B6" s="12">
        <v>1000</v>
      </c>
    </row>
    <row r="10" spans="1:2">
      <c r="A10" s="10" t="s">
        <v>5</v>
      </c>
      <c r="B10" s="11">
        <v>18</v>
      </c>
    </row>
    <row r="11" spans="1:2" ht="20.25">
      <c r="A11" s="13" t="s">
        <v>6</v>
      </c>
      <c r="B11" s="14">
        <f>B10/(B1*10^6)*B2*10^3</f>
        <v>1.1520000000000001</v>
      </c>
    </row>
  </sheetData>
  <dataValidations count="2">
    <dataValidation type="list" allowBlank="1" showInputMessage="1" showErrorMessage="1" sqref="B2">
      <formula1>"1,8,64,256,1024"</formula1>
    </dataValidation>
    <dataValidation type="list" allowBlank="1" showInputMessage="1" showErrorMessage="1" sqref="B3:B4">
      <formula1>"0,1,2,3,4,5"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List3"/>
  <dimension ref="A1:B2"/>
  <sheetViews>
    <sheetView workbookViewId="0">
      <selection activeCell="B2" sqref="B2"/>
    </sheetView>
  </sheetViews>
  <sheetFormatPr defaultRowHeight="15"/>
  <cols>
    <col min="1" max="1" width="13.28515625" customWidth="1"/>
    <col min="2" max="2" width="9.85546875" bestFit="1" customWidth="1"/>
  </cols>
  <sheetData>
    <row r="1" spans="1:2">
      <c r="A1" s="7" t="s">
        <v>1</v>
      </c>
      <c r="B1" s="8">
        <v>16</v>
      </c>
    </row>
    <row r="2" spans="1:2">
      <c r="A2" s="10" t="s">
        <v>7</v>
      </c>
      <c r="B2" s="15">
        <v>128</v>
      </c>
    </row>
  </sheetData>
  <dataValidations count="1">
    <dataValidation type="list" allowBlank="1" showInputMessage="1" showErrorMessage="1" sqref="B2">
      <formula1>"1,8,32,64,128,256,1024"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Delovni listi</vt:lpstr>
      </vt:variant>
      <vt:variant>
        <vt:i4>4</vt:i4>
      </vt:variant>
    </vt:vector>
  </HeadingPairs>
  <TitlesOfParts>
    <vt:vector size="4" baseType="lpstr">
      <vt:lpstr>INIT</vt:lpstr>
      <vt:lpstr>ADC</vt:lpstr>
      <vt:lpstr>t_0</vt:lpstr>
      <vt:lpstr>Timer1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2015-02-27T09:45:38Z</dcterms:created>
  <dcterms:modified xsi:type="dcterms:W3CDTF">2015-05-15T20:13:58Z</dcterms:modified>
</cp:coreProperties>
</file>